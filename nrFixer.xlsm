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\Documents\Personal\nrFixer\"/>
    </mc:Choice>
  </mc:AlternateContent>
  <xr:revisionPtr revIDLastSave="0" documentId="13_ncr:1_{01E46D35-49D1-4533-A046-7973C564860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Master" sheetId="1" r:id="rId1"/>
    <sheet name="output" sheetId="3" r:id="rId2"/>
    <sheet name="rawNR" sheetId="7" r:id="rId3"/>
    <sheet name="pd" sheetId="5" r:id="rId4"/>
    <sheet name="rawNR indexing" sheetId="6" r:id="rId5"/>
    <sheet name="pd indexing" sheetId="11" r:id="rId6"/>
    <sheet name="example of rawNR setup" sheetId="10" r:id="rId7"/>
    <sheet name="example of pd setup" sheetId="12" r:id="rId8"/>
    <sheet name="whitelist" sheetId="4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11" l="1"/>
  <c r="C19" i="11" s="1"/>
  <c r="C18" i="11" s="1"/>
  <c r="C17" i="11" s="1"/>
  <c r="C16" i="11" s="1"/>
  <c r="C15" i="11" s="1"/>
  <c r="C14" i="11" s="1"/>
  <c r="C13" i="11" s="1"/>
  <c r="C11" i="11" s="1"/>
  <c r="C10" i="11" s="1"/>
  <c r="C9" i="11" s="1"/>
  <c r="C8" i="11" s="1"/>
  <c r="C7" i="11" s="1"/>
  <c r="C6" i="11" s="1"/>
  <c r="C5" i="11" s="1"/>
  <c r="C4" i="11" s="1"/>
  <c r="C3" i="11" s="1"/>
  <c r="C6" i="6"/>
  <c r="C7" i="6" s="1"/>
</calcChain>
</file>

<file path=xl/sharedStrings.xml><?xml version="1.0" encoding="utf-8"?>
<sst xmlns="http://schemas.openxmlformats.org/spreadsheetml/2006/main" count="298" uniqueCount="101">
  <si>
    <t>Insert NRIC from latestNR generated under here</t>
  </si>
  <si>
    <t>S1234567A</t>
  </si>
  <si>
    <t>John Doe</t>
  </si>
  <si>
    <t>T7654321B</t>
  </si>
  <si>
    <t>Jane Smith</t>
  </si>
  <si>
    <t>Missing NRIC will appear under here</t>
  </si>
  <si>
    <t>NRIC</t>
  </si>
  <si>
    <t>NAME</t>
  </si>
  <si>
    <t>Names of eligible users</t>
  </si>
  <si>
    <t>Ashton</t>
  </si>
  <si>
    <t>Julien</t>
  </si>
  <si>
    <t>Darryl</t>
  </si>
  <si>
    <t>Reyner</t>
  </si>
  <si>
    <t>Ben</t>
  </si>
  <si>
    <t>Evzen</t>
  </si>
  <si>
    <t>Iskandar</t>
  </si>
  <si>
    <t>Hafiz</t>
  </si>
  <si>
    <t>PERNR</t>
  </si>
  <si>
    <t>STATUS</t>
  </si>
  <si>
    <t>RANK</t>
  </si>
  <si>
    <t>Active</t>
  </si>
  <si>
    <t>Inactive</t>
  </si>
  <si>
    <t>Manager</t>
  </si>
  <si>
    <t>Engineer</t>
  </si>
  <si>
    <t>G8765432D</t>
  </si>
  <si>
    <t>Alex Brown</t>
  </si>
  <si>
    <t>Intern</t>
  </si>
  <si>
    <t>F2345678C</t>
  </si>
  <si>
    <t>Emily White</t>
  </si>
  <si>
    <t>Lead</t>
  </si>
  <si>
    <t>S9876543E</t>
  </si>
  <si>
    <t>Sarah Tan</t>
  </si>
  <si>
    <t>Supervisor</t>
  </si>
  <si>
    <t>HR001</t>
  </si>
  <si>
    <t>John</t>
  </si>
  <si>
    <t>Doe</t>
  </si>
  <si>
    <t>Male</t>
  </si>
  <si>
    <t>Singapore</t>
  </si>
  <si>
    <t>HR Dept</t>
  </si>
  <si>
    <t>HR Specialist</t>
  </si>
  <si>
    <t>johndoe@hr.com</t>
  </si>
  <si>
    <t>No</t>
  </si>
  <si>
    <t>N/A</t>
  </si>
  <si>
    <t>Assigned</t>
  </si>
  <si>
    <t>ENG002</t>
  </si>
  <si>
    <t>Jane</t>
  </si>
  <si>
    <t>Smith</t>
  </si>
  <si>
    <t>Female</t>
  </si>
  <si>
    <t>Eng Dept</t>
  </si>
  <si>
    <t>janesmith@eng.com</t>
  </si>
  <si>
    <t>INT003</t>
  </si>
  <si>
    <t>Alex</t>
  </si>
  <si>
    <t>Brown</t>
  </si>
  <si>
    <t>Internships</t>
  </si>
  <si>
    <t>alexbrown@int.com</t>
  </si>
  <si>
    <t>Yes</t>
  </si>
  <si>
    <t>Leave</t>
  </si>
  <si>
    <t>Unassigned</t>
  </si>
  <si>
    <t>LD004</t>
  </si>
  <si>
    <t>Emily</t>
  </si>
  <si>
    <t>White</t>
  </si>
  <si>
    <t>Lead Dept</t>
  </si>
  <si>
    <t>emilywhite@ld.com</t>
  </si>
  <si>
    <t>SUP005</t>
  </si>
  <si>
    <t>Sarah</t>
  </si>
  <si>
    <t>Tan</t>
  </si>
  <si>
    <t>Sup Dept</t>
  </si>
  <si>
    <t>sarahtan@sup.com</t>
  </si>
  <si>
    <t>ID</t>
  </si>
  <si>
    <t>Dept Code</t>
  </si>
  <si>
    <t>First Name</t>
  </si>
  <si>
    <t>Last Name</t>
  </si>
  <si>
    <t>Age</t>
  </si>
  <si>
    <t>Gender</t>
  </si>
  <si>
    <t>Location</t>
  </si>
  <si>
    <t>Department</t>
  </si>
  <si>
    <t>Position</t>
  </si>
  <si>
    <t>Email</t>
  </si>
  <si>
    <t>Phone</t>
  </si>
  <si>
    <t>Status</t>
  </si>
  <si>
    <t>Leave Status</t>
  </si>
  <si>
    <t>Remarks</t>
  </si>
  <si>
    <t>Leave Date</t>
  </si>
  <si>
    <t>Output Column N</t>
  </si>
  <si>
    <t>Assignment</t>
  </si>
  <si>
    <t>Output Column M</t>
  </si>
  <si>
    <t>Values</t>
  </si>
  <si>
    <t>Formula</t>
  </si>
  <si>
    <t>"Completed Training"</t>
  </si>
  <si>
    <t>"Eligible for Promotion"</t>
  </si>
  <si>
    <t>"Exceeds Expectations"</t>
  </si>
  <si>
    <t>"Consider for Bonus"</t>
  </si>
  <si>
    <t>"Pending Evaluation"</t>
  </si>
  <si>
    <t>"On Hold"</t>
  </si>
  <si>
    <t>"Leadership Certified"</t>
  </si>
  <si>
    <t>"Eligible for Award"</t>
  </si>
  <si>
    <t>"Top Performer"</t>
  </si>
  <si>
    <t>"Recommended for Raise"</t>
  </si>
  <si>
    <t>Performance</t>
  </si>
  <si>
    <t>Eligibility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</si>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</sst>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14" fontId="0" fillId="0" borderId="0" xfId="0" applyNumberFormat="1"/>
  </cellXfs>
  <cellStyles count="2">
    <cellStyle name="Normal" xfId="0" builtinId="0"/>
    <cellStyle name="Normal 2" xfId="1" xr:uid="{872498D6-37B7-4367-A6C5-E147DD8DF24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8</xdr:row>
          <xdr:rowOff>161925</xdr:rowOff>
        </xdr:from>
        <xdr:to>
          <xdr:col>7</xdr:col>
          <xdr:colOff>228600</xdr:colOff>
          <xdr:row>12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Missing NRIC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590550</xdr:colOff>
      <xdr:row>1</xdr:row>
      <xdr:rowOff>28575</xdr:rowOff>
    </xdr:from>
    <xdr:to>
      <xdr:col>7</xdr:col>
      <xdr:colOff>438149</xdr:colOff>
      <xdr:row>4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FB235F6-3D1C-B774-4AE7-448597C94F6F}"/>
            </a:ext>
          </a:extLst>
        </xdr:cNvPr>
        <xdr:cNvSpPr txBox="1"/>
      </xdr:nvSpPr>
      <xdr:spPr>
        <a:xfrm>
          <a:off x="6429375" y="219075"/>
          <a:ext cx="2285999" cy="676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1100" kern="1200"/>
            <a:t>Disclaimer:</a:t>
          </a:r>
        </a:p>
        <a:p>
          <a:r>
            <a:rPr lang="en-SG" sz="1100" kern="1200"/>
            <a:t>All</a:t>
          </a:r>
          <a:r>
            <a:rPr lang="en-SG" sz="1100" kern="1200" baseline="0"/>
            <a:t> Data Presented Here are purely fictional  and for testing only</a:t>
          </a:r>
          <a:endParaRPr lang="en-SG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13</xdr:row>
          <xdr:rowOff>180975</xdr:rowOff>
        </xdr:from>
        <xdr:to>
          <xdr:col>7</xdr:col>
          <xdr:colOff>247650</xdr:colOff>
          <xdr:row>17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 Missing NRIC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8</xdr:row>
          <xdr:rowOff>152400</xdr:rowOff>
        </xdr:from>
        <xdr:to>
          <xdr:col>10</xdr:col>
          <xdr:colOff>514350</xdr:colOff>
          <xdr:row>12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Append 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14</xdr:row>
          <xdr:rowOff>0</xdr:rowOff>
        </xdr:from>
        <xdr:to>
          <xdr:col>10</xdr:col>
          <xdr:colOff>523875</xdr:colOff>
          <xdr:row>17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Append 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8</xdr:row>
          <xdr:rowOff>152400</xdr:rowOff>
        </xdr:from>
        <xdr:to>
          <xdr:col>14</xdr:col>
          <xdr:colOff>152400</xdr:colOff>
          <xdr:row>12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up Column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14</xdr:row>
          <xdr:rowOff>19050</xdr:rowOff>
        </xdr:from>
        <xdr:to>
          <xdr:col>14</xdr:col>
          <xdr:colOff>152400</xdr:colOff>
          <xdr:row>17</xdr:row>
          <xdr:rowOff>152400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up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8</xdr:row>
          <xdr:rowOff>161925</xdr:rowOff>
        </xdr:from>
        <xdr:to>
          <xdr:col>17</xdr:col>
          <xdr:colOff>495300</xdr:colOff>
          <xdr:row>12</xdr:row>
          <xdr:rowOff>104775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up rawNR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13</xdr:row>
          <xdr:rowOff>180975</xdr:rowOff>
        </xdr:from>
        <xdr:to>
          <xdr:col>17</xdr:col>
          <xdr:colOff>514350</xdr:colOff>
          <xdr:row>17</xdr:row>
          <xdr:rowOff>123825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up 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19</xdr:row>
          <xdr:rowOff>57150</xdr:rowOff>
        </xdr:from>
        <xdr:to>
          <xdr:col>17</xdr:col>
          <xdr:colOff>514350</xdr:colOff>
          <xdr:row>23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up 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"/>
  <sheetViews>
    <sheetView tabSelected="1" workbookViewId="0">
      <selection activeCell="C19" sqref="C19"/>
    </sheetView>
  </sheetViews>
  <sheetFormatPr defaultRowHeight="15" x14ac:dyDescent="0.25"/>
  <cols>
    <col min="1" max="1" width="44.5703125" bestFit="1" customWidth="1"/>
    <col min="3" max="3" width="33.85546875" bestFit="1" customWidth="1"/>
  </cols>
  <sheetData>
    <row r="1" spans="1:11" x14ac:dyDescent="0.25">
      <c r="A1" t="s">
        <v>0</v>
      </c>
      <c r="C1" t="s">
        <v>5</v>
      </c>
      <c r="K1" t="s">
        <v>0</v>
      </c>
    </row>
    <row r="2" spans="1:11" x14ac:dyDescent="0.25">
      <c r="C2" t="s">
        <v>1</v>
      </c>
    </row>
    <row r="3" spans="1:11" x14ac:dyDescent="0.25">
      <c r="C3" t="s">
        <v>3</v>
      </c>
    </row>
    <row r="4" spans="1:11" x14ac:dyDescent="0.25">
      <c r="C4" t="s">
        <v>24</v>
      </c>
    </row>
    <row r="5" spans="1:11" x14ac:dyDescent="0.25">
      <c r="C5" t="s">
        <v>27</v>
      </c>
    </row>
    <row r="6" spans="1:11" x14ac:dyDescent="0.25">
      <c r="C6" t="s">
        <v>30</v>
      </c>
    </row>
    <row r="23" spans="13:13" x14ac:dyDescent="0.25">
      <c r="M23" t="s">
        <v>100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dMissingNRICsToColumnC">
                <anchor moveWithCells="1" sizeWithCells="1">
                  <from>
                    <xdr:col>4</xdr:col>
                    <xdr:colOff>466725</xdr:colOff>
                    <xdr:row>8</xdr:row>
                    <xdr:rowOff>161925</xdr:rowOff>
                  </from>
                  <to>
                    <xdr:col>7</xdr:col>
                    <xdr:colOff>228600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OutputMissingNRICsWithData">
                <anchor moveWithCells="1" sizeWithCells="1">
                  <from>
                    <xdr:col>4</xdr:col>
                    <xdr:colOff>485775</xdr:colOff>
                    <xdr:row>13</xdr:row>
                    <xdr:rowOff>180975</xdr:rowOff>
                  </from>
                  <to>
                    <xdr:col>7</xdr:col>
                    <xdr:colOff>247650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AppendPd">
                <anchor moveWithCells="1" sizeWithCells="1">
                  <from>
                    <xdr:col>8</xdr:col>
                    <xdr:colOff>142875</xdr:colOff>
                    <xdr:row>8</xdr:row>
                    <xdr:rowOff>152400</xdr:rowOff>
                  </from>
                  <to>
                    <xdr:col>10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AppendPd">
                <anchor moveWithCells="1" sizeWithCells="1">
                  <from>
                    <xdr:col>8</xdr:col>
                    <xdr:colOff>152400</xdr:colOff>
                    <xdr:row>14</xdr:row>
                    <xdr:rowOff>0</xdr:rowOff>
                  </from>
                  <to>
                    <xdr:col>10</xdr:col>
                    <xdr:colOff>523875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CleanUpNRICsInColumnA">
                <anchor moveWithCells="1" sizeWithCells="1">
                  <from>
                    <xdr:col>11</xdr:col>
                    <xdr:colOff>390525</xdr:colOff>
                    <xdr:row>8</xdr:row>
                    <xdr:rowOff>152400</xdr:rowOff>
                  </from>
                  <to>
                    <xdr:col>14</xdr:col>
                    <xdr:colOff>152400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CleanUpOutputSheet">
                <anchor moveWithCells="1" sizeWithCells="1">
                  <from>
                    <xdr:col>11</xdr:col>
                    <xdr:colOff>390525</xdr:colOff>
                    <xdr:row>14</xdr:row>
                    <xdr:rowOff>19050</xdr:rowOff>
                  </from>
                  <to>
                    <xdr:col>14</xdr:col>
                    <xdr:colOff>152400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CleanUpRawNRSheet">
                <anchor moveWithCells="1" sizeWithCells="1">
                  <from>
                    <xdr:col>15</xdr:col>
                    <xdr:colOff>123825</xdr:colOff>
                    <xdr:row>8</xdr:row>
                    <xdr:rowOff>161925</xdr:rowOff>
                  </from>
                  <to>
                    <xdr:col>17</xdr:col>
                    <xdr:colOff>495300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CleanUpPdSheet">
                <anchor moveWithCells="1" sizeWithCells="1">
                  <from>
                    <xdr:col>15</xdr:col>
                    <xdr:colOff>142875</xdr:colOff>
                    <xdr:row>13</xdr:row>
                    <xdr:rowOff>180975</xdr:rowOff>
                  </from>
                  <to>
                    <xdr:col>17</xdr:col>
                    <xdr:colOff>514350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CleanUpPdSheet">
                <anchor moveWithCells="1" sizeWithCells="1">
                  <from>
                    <xdr:col>15</xdr:col>
                    <xdr:colOff>142875</xdr:colOff>
                    <xdr:row>19</xdr:row>
                    <xdr:rowOff>57150</xdr:rowOff>
                  </from>
                  <to>
                    <xdr:col>17</xdr:col>
                    <xdr:colOff>514350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3A74-25C3-4D9E-BCC5-297E8F31C885}">
  <sheetPr codeName="Sheet3"/>
  <dimension ref="A1:N1"/>
  <sheetViews>
    <sheetView workbookViewId="0">
      <selection activeCell="G31" sqref="G31"/>
    </sheetView>
  </sheetViews>
  <sheetFormatPr defaultRowHeight="15" x14ac:dyDescent="0.25"/>
  <cols>
    <col min="1" max="1" width="6.85546875" bestFit="1" customWidth="1"/>
    <col min="2" max="2" width="10.5703125" bestFit="1" customWidth="1"/>
    <col min="3" max="3" width="10.42578125" bestFit="1" customWidth="1"/>
    <col min="4" max="4" width="11.7109375" bestFit="1" customWidth="1"/>
    <col min="13" max="13" width="24.7109375" bestFit="1" customWidth="1"/>
    <col min="14" max="14" width="22" bestFit="1" customWidth="1"/>
  </cols>
  <sheetData>
    <row r="1" spans="1:14" x14ac:dyDescent="0.25">
      <c r="A1" t="s">
        <v>17</v>
      </c>
      <c r="B1" t="s">
        <v>6</v>
      </c>
      <c r="C1" t="s">
        <v>19</v>
      </c>
      <c r="D1" t="s">
        <v>7</v>
      </c>
      <c r="M1" t="s">
        <v>99</v>
      </c>
      <c r="N1" t="s">
        <v>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50F0-867A-4ABD-9E68-02F146F9C064}">
  <sheetPr codeName="Sheet7"/>
  <dimension ref="A1:E6"/>
  <sheetViews>
    <sheetView workbookViewId="0">
      <selection activeCell="E31" sqref="E31"/>
    </sheetView>
  </sheetViews>
  <sheetFormatPr defaultRowHeight="15" x14ac:dyDescent="0.25"/>
  <cols>
    <col min="1" max="1" width="6.85546875" bestFit="1" customWidth="1"/>
    <col min="2" max="2" width="10.5703125" bestFit="1" customWidth="1"/>
    <col min="3" max="3" width="11.7109375" bestFit="1" customWidth="1"/>
    <col min="4" max="4" width="8" bestFit="1" customWidth="1"/>
    <col min="5" max="5" width="10.42578125" bestFit="1" customWidth="1"/>
  </cols>
  <sheetData>
    <row r="1" spans="1:5" x14ac:dyDescent="0.25">
      <c r="A1" t="s">
        <v>17</v>
      </c>
      <c r="B1" t="s">
        <v>6</v>
      </c>
      <c r="C1" t="s">
        <v>7</v>
      </c>
      <c r="D1" t="s">
        <v>18</v>
      </c>
      <c r="E1" t="s">
        <v>19</v>
      </c>
    </row>
    <row r="2" spans="1:5" x14ac:dyDescent="0.25">
      <c r="A2">
        <v>1001</v>
      </c>
      <c r="B2" t="s">
        <v>1</v>
      </c>
      <c r="C2" t="s">
        <v>2</v>
      </c>
      <c r="D2" t="s">
        <v>20</v>
      </c>
      <c r="E2" t="s">
        <v>22</v>
      </c>
    </row>
    <row r="3" spans="1:5" x14ac:dyDescent="0.25">
      <c r="A3">
        <v>1002</v>
      </c>
      <c r="B3" t="s">
        <v>3</v>
      </c>
      <c r="C3" t="s">
        <v>4</v>
      </c>
      <c r="D3" t="s">
        <v>20</v>
      </c>
      <c r="E3" t="s">
        <v>23</v>
      </c>
    </row>
    <row r="4" spans="1:5" x14ac:dyDescent="0.25">
      <c r="A4">
        <v>1003</v>
      </c>
      <c r="B4" t="s">
        <v>24</v>
      </c>
      <c r="C4" t="s">
        <v>25</v>
      </c>
      <c r="D4" t="s">
        <v>21</v>
      </c>
      <c r="E4" t="s">
        <v>26</v>
      </c>
    </row>
    <row r="5" spans="1:5" x14ac:dyDescent="0.25">
      <c r="A5">
        <v>1004</v>
      </c>
      <c r="B5" t="s">
        <v>27</v>
      </c>
      <c r="C5" t="s">
        <v>28</v>
      </c>
      <c r="D5" t="s">
        <v>20</v>
      </c>
      <c r="E5" t="s">
        <v>29</v>
      </c>
    </row>
    <row r="6" spans="1:5" x14ac:dyDescent="0.25">
      <c r="A6">
        <v>1005</v>
      </c>
      <c r="B6" t="s">
        <v>30</v>
      </c>
      <c r="C6" t="s">
        <v>31</v>
      </c>
      <c r="D6" t="s">
        <v>20</v>
      </c>
      <c r="E6" t="s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09B5F-AF5F-454C-A037-ED781AA7E122}">
  <sheetPr codeName="Sheet5"/>
  <dimension ref="A1:S6"/>
  <sheetViews>
    <sheetView workbookViewId="0">
      <selection activeCell="H31" sqref="H31"/>
    </sheetView>
  </sheetViews>
  <sheetFormatPr defaultRowHeight="15" x14ac:dyDescent="0.25"/>
  <cols>
    <col min="1" max="1" width="6" bestFit="1" customWidth="1"/>
    <col min="2" max="2" width="10.28515625" bestFit="1" customWidth="1"/>
    <col min="3" max="3" width="10.5703125" bestFit="1" customWidth="1"/>
    <col min="4" max="4" width="10.140625" bestFit="1" customWidth="1"/>
    <col min="5" max="5" width="4.42578125" bestFit="1" customWidth="1"/>
    <col min="6" max="6" width="7.5703125" bestFit="1" customWidth="1"/>
    <col min="7" max="7" width="9.85546875" bestFit="1" customWidth="1"/>
    <col min="8" max="8" width="11.7109375" bestFit="1" customWidth="1"/>
    <col min="9" max="9" width="12.28515625" bestFit="1" customWidth="1"/>
    <col min="10" max="10" width="10.5703125" bestFit="1" customWidth="1"/>
    <col min="11" max="11" width="19.5703125" bestFit="1" customWidth="1"/>
    <col min="12" max="12" width="9" bestFit="1" customWidth="1"/>
    <col min="13" max="13" width="8" bestFit="1" customWidth="1"/>
    <col min="14" max="14" width="12" bestFit="1" customWidth="1"/>
    <col min="15" max="15" width="8.5703125" bestFit="1" customWidth="1"/>
    <col min="16" max="16" width="10.7109375" bestFit="1" customWidth="1"/>
    <col min="17" max="17" width="22" bestFit="1" customWidth="1"/>
    <col min="18" max="18" width="11.42578125" bestFit="1" customWidth="1"/>
    <col min="19" max="19" width="24.7109375" bestFit="1" customWidth="1"/>
  </cols>
  <sheetData>
    <row r="1" spans="1:19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98</v>
      </c>
      <c r="R1" t="s">
        <v>84</v>
      </c>
      <c r="S1" t="s">
        <v>99</v>
      </c>
    </row>
    <row r="2" spans="1:19" x14ac:dyDescent="0.25">
      <c r="A2">
        <v>10001</v>
      </c>
      <c r="B2" t="s">
        <v>33</v>
      </c>
      <c r="C2" t="s">
        <v>34</v>
      </c>
      <c r="D2" t="s">
        <v>35</v>
      </c>
      <c r="E2">
        <v>35</v>
      </c>
      <c r="F2" t="s">
        <v>36</v>
      </c>
      <c r="G2" t="s">
        <v>37</v>
      </c>
      <c r="H2" t="s">
        <v>38</v>
      </c>
      <c r="I2" t="s">
        <v>39</v>
      </c>
      <c r="J2" t="s">
        <v>1</v>
      </c>
      <c r="K2" t="s">
        <v>40</v>
      </c>
      <c r="L2">
        <v>12345678</v>
      </c>
      <c r="M2" t="s">
        <v>20</v>
      </c>
      <c r="N2" t="s">
        <v>41</v>
      </c>
      <c r="O2" t="s">
        <v>42</v>
      </c>
      <c r="P2" t="s">
        <v>42</v>
      </c>
      <c r="Q2" t="s">
        <v>88</v>
      </c>
      <c r="R2" t="s">
        <v>43</v>
      </c>
      <c r="S2" t="s">
        <v>89</v>
      </c>
    </row>
    <row r="3" spans="1:19" x14ac:dyDescent="0.25">
      <c r="A3">
        <v>10002</v>
      </c>
      <c r="B3" t="s">
        <v>44</v>
      </c>
      <c r="C3" t="s">
        <v>45</v>
      </c>
      <c r="D3" t="s">
        <v>46</v>
      </c>
      <c r="E3">
        <v>29</v>
      </c>
      <c r="F3" t="s">
        <v>47</v>
      </c>
      <c r="G3" t="s">
        <v>37</v>
      </c>
      <c r="H3" t="s">
        <v>48</v>
      </c>
      <c r="I3" t="s">
        <v>23</v>
      </c>
      <c r="J3" t="s">
        <v>3</v>
      </c>
      <c r="K3" t="s">
        <v>49</v>
      </c>
      <c r="L3">
        <v>87654321</v>
      </c>
      <c r="M3" t="s">
        <v>20</v>
      </c>
      <c r="N3" t="s">
        <v>41</v>
      </c>
      <c r="O3" t="s">
        <v>42</v>
      </c>
      <c r="P3" t="s">
        <v>42</v>
      </c>
      <c r="Q3" t="s">
        <v>90</v>
      </c>
      <c r="R3" t="s">
        <v>43</v>
      </c>
      <c r="S3" t="s">
        <v>91</v>
      </c>
    </row>
    <row r="4" spans="1:19" x14ac:dyDescent="0.25">
      <c r="A4">
        <v>10003</v>
      </c>
      <c r="B4" t="s">
        <v>50</v>
      </c>
      <c r="C4" t="s">
        <v>51</v>
      </c>
      <c r="D4" t="s">
        <v>52</v>
      </c>
      <c r="E4">
        <v>22</v>
      </c>
      <c r="F4" t="s">
        <v>36</v>
      </c>
      <c r="G4" t="s">
        <v>37</v>
      </c>
      <c r="H4" t="s">
        <v>53</v>
      </c>
      <c r="I4" t="s">
        <v>26</v>
      </c>
      <c r="J4" t="s">
        <v>24</v>
      </c>
      <c r="K4" t="s">
        <v>54</v>
      </c>
      <c r="L4">
        <v>23456789</v>
      </c>
      <c r="M4" t="s">
        <v>21</v>
      </c>
      <c r="N4" t="s">
        <v>55</v>
      </c>
      <c r="O4" t="s">
        <v>56</v>
      </c>
      <c r="P4" s="1">
        <v>44936</v>
      </c>
      <c r="Q4" t="s">
        <v>92</v>
      </c>
      <c r="R4" t="s">
        <v>57</v>
      </c>
      <c r="S4" t="s">
        <v>93</v>
      </c>
    </row>
    <row r="5" spans="1:19" x14ac:dyDescent="0.25">
      <c r="A5">
        <v>10004</v>
      </c>
      <c r="B5" t="s">
        <v>58</v>
      </c>
      <c r="C5" t="s">
        <v>59</v>
      </c>
      <c r="D5" t="s">
        <v>60</v>
      </c>
      <c r="E5">
        <v>40</v>
      </c>
      <c r="F5" t="s">
        <v>47</v>
      </c>
      <c r="G5" t="s">
        <v>37</v>
      </c>
      <c r="H5" t="s">
        <v>61</v>
      </c>
      <c r="I5" t="s">
        <v>29</v>
      </c>
      <c r="J5" t="s">
        <v>27</v>
      </c>
      <c r="K5" t="s">
        <v>62</v>
      </c>
      <c r="L5">
        <v>56789123</v>
      </c>
      <c r="M5" t="s">
        <v>20</v>
      </c>
      <c r="N5" t="s">
        <v>41</v>
      </c>
      <c r="O5" t="s">
        <v>42</v>
      </c>
      <c r="P5" t="s">
        <v>42</v>
      </c>
      <c r="Q5" t="s">
        <v>94</v>
      </c>
      <c r="R5" t="s">
        <v>43</v>
      </c>
      <c r="S5" t="s">
        <v>95</v>
      </c>
    </row>
    <row r="6" spans="1:19" x14ac:dyDescent="0.25">
      <c r="A6">
        <v>10005</v>
      </c>
      <c r="B6" t="s">
        <v>63</v>
      </c>
      <c r="C6" t="s">
        <v>64</v>
      </c>
      <c r="D6" t="s">
        <v>65</v>
      </c>
      <c r="E6">
        <v>32</v>
      </c>
      <c r="F6" t="s">
        <v>47</v>
      </c>
      <c r="G6" t="s">
        <v>37</v>
      </c>
      <c r="H6" t="s">
        <v>66</v>
      </c>
      <c r="I6" t="s">
        <v>32</v>
      </c>
      <c r="J6" t="s">
        <v>30</v>
      </c>
      <c r="K6" t="s">
        <v>67</v>
      </c>
      <c r="L6">
        <v>76543210</v>
      </c>
      <c r="M6" t="s">
        <v>20</v>
      </c>
      <c r="N6" t="s">
        <v>41</v>
      </c>
      <c r="O6" t="s">
        <v>42</v>
      </c>
      <c r="P6" t="s">
        <v>42</v>
      </c>
      <c r="Q6" t="s">
        <v>96</v>
      </c>
      <c r="R6" t="s">
        <v>43</v>
      </c>
      <c r="S6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1F2C8-A54A-457F-A48E-350A16B993A7}">
  <sheetPr codeName="Sheet6"/>
  <dimension ref="A1:E7"/>
  <sheetViews>
    <sheetView workbookViewId="0">
      <selection activeCell="E24" sqref="E24:E25"/>
    </sheetView>
  </sheetViews>
  <sheetFormatPr defaultRowHeight="15" x14ac:dyDescent="0.25"/>
  <cols>
    <col min="1" max="1" width="7.5703125" bestFit="1" customWidth="1"/>
    <col min="3" max="3" width="8.28515625" bestFit="1" customWidth="1"/>
    <col min="5" max="5" width="7" bestFit="1" customWidth="1"/>
  </cols>
  <sheetData>
    <row r="1" spans="1:5" x14ac:dyDescent="0.25">
      <c r="C1" t="s">
        <v>87</v>
      </c>
      <c r="E1" t="s">
        <v>86</v>
      </c>
    </row>
    <row r="3" spans="1:5" x14ac:dyDescent="0.25">
      <c r="A3" t="s">
        <v>17</v>
      </c>
      <c r="C3">
        <v>-1</v>
      </c>
      <c r="E3">
        <v>-1</v>
      </c>
    </row>
    <row r="4" spans="1:5" x14ac:dyDescent="0.25">
      <c r="A4" t="s">
        <v>6</v>
      </c>
    </row>
    <row r="5" spans="1:5" x14ac:dyDescent="0.25">
      <c r="A5" t="s">
        <v>7</v>
      </c>
      <c r="C5">
        <v>1</v>
      </c>
      <c r="E5">
        <v>1</v>
      </c>
    </row>
    <row r="6" spans="1:5" x14ac:dyDescent="0.25">
      <c r="A6" t="s">
        <v>18</v>
      </c>
      <c r="C6">
        <f>C5+1</f>
        <v>2</v>
      </c>
      <c r="E6">
        <v>2</v>
      </c>
    </row>
    <row r="7" spans="1:5" x14ac:dyDescent="0.25">
      <c r="A7" t="s">
        <v>19</v>
      </c>
      <c r="C7">
        <f>C6+1</f>
        <v>3</v>
      </c>
      <c r="E7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1FFE0-E2E5-4C78-885C-DF7C38061933}">
  <sheetPr codeName="Sheet10"/>
  <dimension ref="A1:E21"/>
  <sheetViews>
    <sheetView workbookViewId="0">
      <selection activeCell="C1" sqref="C1:E1"/>
    </sheetView>
  </sheetViews>
  <sheetFormatPr defaultRowHeight="15" x14ac:dyDescent="0.25"/>
  <cols>
    <col min="1" max="1" width="16.85546875" bestFit="1" customWidth="1"/>
  </cols>
  <sheetData>
    <row r="1" spans="1:5" x14ac:dyDescent="0.25">
      <c r="C1" t="s">
        <v>87</v>
      </c>
      <c r="E1" t="s">
        <v>86</v>
      </c>
    </row>
    <row r="3" spans="1:5" x14ac:dyDescent="0.25">
      <c r="A3" t="s">
        <v>68</v>
      </c>
      <c r="C3">
        <f t="shared" ref="C3:C19" si="0">C4-1</f>
        <v>-9</v>
      </c>
      <c r="E3">
        <v>-9</v>
      </c>
    </row>
    <row r="4" spans="1:5" x14ac:dyDescent="0.25">
      <c r="A4" t="s">
        <v>69</v>
      </c>
      <c r="C4">
        <f t="shared" si="0"/>
        <v>-8</v>
      </c>
      <c r="E4">
        <v>-8</v>
      </c>
    </row>
    <row r="5" spans="1:5" x14ac:dyDescent="0.25">
      <c r="A5" t="s">
        <v>70</v>
      </c>
      <c r="C5">
        <f t="shared" si="0"/>
        <v>-7</v>
      </c>
      <c r="E5">
        <v>-7</v>
      </c>
    </row>
    <row r="6" spans="1:5" x14ac:dyDescent="0.25">
      <c r="A6" t="s">
        <v>71</v>
      </c>
      <c r="C6">
        <f t="shared" si="0"/>
        <v>-6</v>
      </c>
      <c r="E6">
        <v>-6</v>
      </c>
    </row>
    <row r="7" spans="1:5" x14ac:dyDescent="0.25">
      <c r="A7" t="s">
        <v>72</v>
      </c>
      <c r="C7">
        <f t="shared" si="0"/>
        <v>-5</v>
      </c>
      <c r="E7">
        <v>-5</v>
      </c>
    </row>
    <row r="8" spans="1:5" x14ac:dyDescent="0.25">
      <c r="A8" t="s">
        <v>73</v>
      </c>
      <c r="C8">
        <f t="shared" si="0"/>
        <v>-4</v>
      </c>
      <c r="E8">
        <v>-4</v>
      </c>
    </row>
    <row r="9" spans="1:5" x14ac:dyDescent="0.25">
      <c r="A9" t="s">
        <v>74</v>
      </c>
      <c r="C9">
        <f t="shared" si="0"/>
        <v>-3</v>
      </c>
      <c r="E9">
        <v>-3</v>
      </c>
    </row>
    <row r="10" spans="1:5" x14ac:dyDescent="0.25">
      <c r="A10" t="s">
        <v>75</v>
      </c>
      <c r="C10">
        <f t="shared" si="0"/>
        <v>-2</v>
      </c>
      <c r="E10">
        <v>-2</v>
      </c>
    </row>
    <row r="11" spans="1:5" x14ac:dyDescent="0.25">
      <c r="A11" t="s">
        <v>76</v>
      </c>
      <c r="C11">
        <f t="shared" si="0"/>
        <v>-1</v>
      </c>
      <c r="E11">
        <v>-1</v>
      </c>
    </row>
    <row r="12" spans="1:5" x14ac:dyDescent="0.25">
      <c r="A12" t="s">
        <v>6</v>
      </c>
    </row>
    <row r="13" spans="1:5" x14ac:dyDescent="0.25">
      <c r="A13" t="s">
        <v>77</v>
      </c>
      <c r="C13">
        <f t="shared" si="0"/>
        <v>1</v>
      </c>
      <c r="E13">
        <v>1</v>
      </c>
    </row>
    <row r="14" spans="1:5" x14ac:dyDescent="0.25">
      <c r="A14" t="s">
        <v>78</v>
      </c>
      <c r="C14">
        <f t="shared" si="0"/>
        <v>2</v>
      </c>
      <c r="E14">
        <v>2</v>
      </c>
    </row>
    <row r="15" spans="1:5" x14ac:dyDescent="0.25">
      <c r="A15" t="s">
        <v>79</v>
      </c>
      <c r="C15">
        <f t="shared" si="0"/>
        <v>3</v>
      </c>
      <c r="E15">
        <v>3</v>
      </c>
    </row>
    <row r="16" spans="1:5" x14ac:dyDescent="0.25">
      <c r="A16" t="s">
        <v>80</v>
      </c>
      <c r="C16">
        <f t="shared" si="0"/>
        <v>4</v>
      </c>
      <c r="E16">
        <v>4</v>
      </c>
    </row>
    <row r="17" spans="1:5" x14ac:dyDescent="0.25">
      <c r="A17" t="s">
        <v>81</v>
      </c>
      <c r="C17">
        <f t="shared" si="0"/>
        <v>5</v>
      </c>
      <c r="E17">
        <v>5</v>
      </c>
    </row>
    <row r="18" spans="1:5" x14ac:dyDescent="0.25">
      <c r="A18" t="s">
        <v>82</v>
      </c>
      <c r="C18">
        <f t="shared" si="0"/>
        <v>6</v>
      </c>
      <c r="E18">
        <v>6</v>
      </c>
    </row>
    <row r="19" spans="1:5" x14ac:dyDescent="0.25">
      <c r="A19" t="s">
        <v>83</v>
      </c>
      <c r="C19">
        <f t="shared" si="0"/>
        <v>7</v>
      </c>
      <c r="E19">
        <v>7</v>
      </c>
    </row>
    <row r="20" spans="1:5" x14ac:dyDescent="0.25">
      <c r="A20" t="s">
        <v>84</v>
      </c>
      <c r="C20">
        <f>C21-1</f>
        <v>8</v>
      </c>
      <c r="E20">
        <v>8</v>
      </c>
    </row>
    <row r="21" spans="1:5" x14ac:dyDescent="0.25">
      <c r="A21" t="s">
        <v>85</v>
      </c>
      <c r="C21">
        <v>9</v>
      </c>
      <c r="E21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1697D-9C0B-48D9-8049-13D6FE9003AB}">
  <sheetPr codeName="Sheet9"/>
  <dimension ref="A1:E6"/>
  <sheetViews>
    <sheetView workbookViewId="0">
      <selection activeCell="J32" sqref="J32"/>
    </sheetView>
  </sheetViews>
  <sheetFormatPr defaultRowHeight="15" x14ac:dyDescent="0.25"/>
  <cols>
    <col min="1" max="1" width="6.85546875" bestFit="1" customWidth="1"/>
    <col min="2" max="2" width="10.5703125" bestFit="1" customWidth="1"/>
    <col min="3" max="3" width="11.7109375" bestFit="1" customWidth="1"/>
    <col min="4" max="4" width="8" bestFit="1" customWidth="1"/>
    <col min="5" max="5" width="10.42578125" bestFit="1" customWidth="1"/>
  </cols>
  <sheetData>
    <row r="1" spans="1:5" x14ac:dyDescent="0.25">
      <c r="A1" t="s">
        <v>17</v>
      </c>
      <c r="B1" t="s">
        <v>6</v>
      </c>
      <c r="C1" t="s">
        <v>7</v>
      </c>
      <c r="D1" t="s">
        <v>18</v>
      </c>
      <c r="E1" t="s">
        <v>19</v>
      </c>
    </row>
    <row r="2" spans="1:5" x14ac:dyDescent="0.25">
      <c r="A2">
        <v>1001</v>
      </c>
      <c r="B2" t="s">
        <v>1</v>
      </c>
      <c r="C2" t="s">
        <v>2</v>
      </c>
      <c r="D2" t="s">
        <v>20</v>
      </c>
      <c r="E2" t="s">
        <v>22</v>
      </c>
    </row>
    <row r="3" spans="1:5" x14ac:dyDescent="0.25">
      <c r="A3">
        <v>1002</v>
      </c>
      <c r="B3" t="s">
        <v>3</v>
      </c>
      <c r="C3" t="s">
        <v>4</v>
      </c>
      <c r="D3" t="s">
        <v>20</v>
      </c>
      <c r="E3" t="s">
        <v>23</v>
      </c>
    </row>
    <row r="4" spans="1:5" x14ac:dyDescent="0.25">
      <c r="A4">
        <v>1003</v>
      </c>
      <c r="B4" t="s">
        <v>24</v>
      </c>
      <c r="C4" t="s">
        <v>25</v>
      </c>
      <c r="D4" t="s">
        <v>21</v>
      </c>
      <c r="E4" t="s">
        <v>26</v>
      </c>
    </row>
    <row r="5" spans="1:5" x14ac:dyDescent="0.25">
      <c r="A5">
        <v>1004</v>
      </c>
      <c r="B5" t="s">
        <v>27</v>
      </c>
      <c r="C5" t="s">
        <v>28</v>
      </c>
      <c r="D5" t="s">
        <v>20</v>
      </c>
      <c r="E5" t="s">
        <v>29</v>
      </c>
    </row>
    <row r="6" spans="1:5" x14ac:dyDescent="0.25">
      <c r="A6">
        <v>1005</v>
      </c>
      <c r="B6" t="s">
        <v>30</v>
      </c>
      <c r="C6" t="s">
        <v>31</v>
      </c>
      <c r="D6" t="s">
        <v>20</v>
      </c>
      <c r="E6" t="s">
        <v>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C619-DF4D-41D5-ADA5-62E1E8A379C4}">
  <sheetPr codeName="Sheet11"/>
  <dimension ref="A1:S6"/>
  <sheetViews>
    <sheetView workbookViewId="0">
      <selection activeCell="H28" sqref="H28"/>
    </sheetView>
  </sheetViews>
  <sheetFormatPr defaultRowHeight="15" x14ac:dyDescent="0.25"/>
  <cols>
    <col min="1" max="1" width="6" bestFit="1" customWidth="1"/>
    <col min="2" max="2" width="10.28515625" bestFit="1" customWidth="1"/>
    <col min="3" max="3" width="10.5703125" bestFit="1" customWidth="1"/>
    <col min="4" max="4" width="10.140625" bestFit="1" customWidth="1"/>
    <col min="5" max="5" width="4.42578125" bestFit="1" customWidth="1"/>
    <col min="6" max="6" width="7.5703125" bestFit="1" customWidth="1"/>
    <col min="7" max="7" width="9.85546875" bestFit="1" customWidth="1"/>
    <col min="8" max="8" width="11.7109375" bestFit="1" customWidth="1"/>
    <col min="9" max="9" width="12.28515625" bestFit="1" customWidth="1"/>
    <col min="10" max="10" width="10.5703125" bestFit="1" customWidth="1"/>
    <col min="11" max="11" width="19.5703125" bestFit="1" customWidth="1"/>
    <col min="12" max="12" width="9" bestFit="1" customWidth="1"/>
    <col min="13" max="13" width="8" bestFit="1" customWidth="1"/>
    <col min="14" max="14" width="12" bestFit="1" customWidth="1"/>
    <col min="15" max="15" width="8.5703125" bestFit="1" customWidth="1"/>
    <col min="16" max="16" width="10.7109375" bestFit="1" customWidth="1"/>
    <col min="17" max="17" width="22" bestFit="1" customWidth="1"/>
    <col min="18" max="18" width="11.42578125" bestFit="1" customWidth="1"/>
    <col min="19" max="19" width="24.7109375" bestFit="1" customWidth="1"/>
  </cols>
  <sheetData>
    <row r="1" spans="1:19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98</v>
      </c>
      <c r="R1" t="s">
        <v>84</v>
      </c>
      <c r="S1" t="s">
        <v>99</v>
      </c>
    </row>
    <row r="2" spans="1:19" x14ac:dyDescent="0.25">
      <c r="A2">
        <v>10001</v>
      </c>
      <c r="B2" t="s">
        <v>33</v>
      </c>
      <c r="C2" t="s">
        <v>34</v>
      </c>
      <c r="D2" t="s">
        <v>35</v>
      </c>
      <c r="E2">
        <v>35</v>
      </c>
      <c r="F2" t="s">
        <v>36</v>
      </c>
      <c r="G2" t="s">
        <v>37</v>
      </c>
      <c r="H2" t="s">
        <v>38</v>
      </c>
      <c r="I2" t="s">
        <v>39</v>
      </c>
      <c r="J2" t="s">
        <v>1</v>
      </c>
      <c r="K2" t="s">
        <v>40</v>
      </c>
      <c r="L2">
        <v>12345678</v>
      </c>
      <c r="M2" t="s">
        <v>20</v>
      </c>
      <c r="N2" t="s">
        <v>41</v>
      </c>
      <c r="O2" t="s">
        <v>42</v>
      </c>
      <c r="P2" t="s">
        <v>42</v>
      </c>
      <c r="Q2" t="s">
        <v>88</v>
      </c>
      <c r="R2" t="s">
        <v>43</v>
      </c>
      <c r="S2" t="s">
        <v>89</v>
      </c>
    </row>
    <row r="3" spans="1:19" x14ac:dyDescent="0.25">
      <c r="A3">
        <v>10002</v>
      </c>
      <c r="B3" t="s">
        <v>44</v>
      </c>
      <c r="C3" t="s">
        <v>45</v>
      </c>
      <c r="D3" t="s">
        <v>46</v>
      </c>
      <c r="E3">
        <v>29</v>
      </c>
      <c r="F3" t="s">
        <v>47</v>
      </c>
      <c r="G3" t="s">
        <v>37</v>
      </c>
      <c r="H3" t="s">
        <v>48</v>
      </c>
      <c r="I3" t="s">
        <v>23</v>
      </c>
      <c r="J3" t="s">
        <v>3</v>
      </c>
      <c r="K3" t="s">
        <v>49</v>
      </c>
      <c r="L3">
        <v>87654321</v>
      </c>
      <c r="M3" t="s">
        <v>20</v>
      </c>
      <c r="N3" t="s">
        <v>41</v>
      </c>
      <c r="O3" t="s">
        <v>42</v>
      </c>
      <c r="P3" t="s">
        <v>42</v>
      </c>
      <c r="Q3" t="s">
        <v>90</v>
      </c>
      <c r="R3" t="s">
        <v>43</v>
      </c>
      <c r="S3" t="s">
        <v>91</v>
      </c>
    </row>
    <row r="4" spans="1:19" x14ac:dyDescent="0.25">
      <c r="A4">
        <v>10003</v>
      </c>
      <c r="B4" t="s">
        <v>50</v>
      </c>
      <c r="C4" t="s">
        <v>51</v>
      </c>
      <c r="D4" t="s">
        <v>52</v>
      </c>
      <c r="E4">
        <v>22</v>
      </c>
      <c r="F4" t="s">
        <v>36</v>
      </c>
      <c r="G4" t="s">
        <v>37</v>
      </c>
      <c r="H4" t="s">
        <v>53</v>
      </c>
      <c r="I4" t="s">
        <v>26</v>
      </c>
      <c r="J4" t="s">
        <v>24</v>
      </c>
      <c r="K4" t="s">
        <v>54</v>
      </c>
      <c r="L4">
        <v>23456789</v>
      </c>
      <c r="M4" t="s">
        <v>21</v>
      </c>
      <c r="N4" t="s">
        <v>55</v>
      </c>
      <c r="O4" t="s">
        <v>56</v>
      </c>
      <c r="P4" s="1">
        <v>44936</v>
      </c>
      <c r="Q4" t="s">
        <v>92</v>
      </c>
      <c r="R4" t="s">
        <v>57</v>
      </c>
      <c r="S4" t="s">
        <v>93</v>
      </c>
    </row>
    <row r="5" spans="1:19" x14ac:dyDescent="0.25">
      <c r="A5">
        <v>10004</v>
      </c>
      <c r="B5" t="s">
        <v>58</v>
      </c>
      <c r="C5" t="s">
        <v>59</v>
      </c>
      <c r="D5" t="s">
        <v>60</v>
      </c>
      <c r="E5">
        <v>40</v>
      </c>
      <c r="F5" t="s">
        <v>47</v>
      </c>
      <c r="G5" t="s">
        <v>37</v>
      </c>
      <c r="H5" t="s">
        <v>61</v>
      </c>
      <c r="I5" t="s">
        <v>29</v>
      </c>
      <c r="J5" t="s">
        <v>27</v>
      </c>
      <c r="K5" t="s">
        <v>62</v>
      </c>
      <c r="L5">
        <v>56789123</v>
      </c>
      <c r="M5" t="s">
        <v>20</v>
      </c>
      <c r="N5" t="s">
        <v>41</v>
      </c>
      <c r="O5" t="s">
        <v>42</v>
      </c>
      <c r="P5" t="s">
        <v>42</v>
      </c>
      <c r="Q5" t="s">
        <v>94</v>
      </c>
      <c r="R5" t="s">
        <v>43</v>
      </c>
      <c r="S5" t="s">
        <v>95</v>
      </c>
    </row>
    <row r="6" spans="1:19" x14ac:dyDescent="0.25">
      <c r="A6">
        <v>10005</v>
      </c>
      <c r="B6" t="s">
        <v>63</v>
      </c>
      <c r="C6" t="s">
        <v>64</v>
      </c>
      <c r="D6" t="s">
        <v>65</v>
      </c>
      <c r="E6">
        <v>32</v>
      </c>
      <c r="F6" t="s">
        <v>47</v>
      </c>
      <c r="G6" t="s">
        <v>37</v>
      </c>
      <c r="H6" t="s">
        <v>66</v>
      </c>
      <c r="I6" t="s">
        <v>32</v>
      </c>
      <c r="J6" t="s">
        <v>30</v>
      </c>
      <c r="K6" t="s">
        <v>67</v>
      </c>
      <c r="L6">
        <v>76543210</v>
      </c>
      <c r="M6" t="s">
        <v>20</v>
      </c>
      <c r="N6" t="s">
        <v>41</v>
      </c>
      <c r="O6" t="s">
        <v>42</v>
      </c>
      <c r="P6" t="s">
        <v>42</v>
      </c>
      <c r="Q6" t="s">
        <v>96</v>
      </c>
      <c r="R6" t="s">
        <v>43</v>
      </c>
      <c r="S6" t="s">
        <v>97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B881E-C2E3-4702-8399-4E3D3193E082}">
  <sheetPr codeName="Sheet4"/>
  <dimension ref="A1:A9"/>
  <sheetViews>
    <sheetView workbookViewId="0">
      <selection activeCell="G13" sqref="G13"/>
    </sheetView>
  </sheetViews>
  <sheetFormatPr defaultRowHeight="15" x14ac:dyDescent="0.25"/>
  <cols>
    <col min="1" max="1" width="22.140625" bestFit="1" customWidth="1"/>
  </cols>
  <sheetData>
    <row r="1" spans="1:1" x14ac:dyDescent="0.25">
      <c r="A1" t="s">
        <v>8</v>
      </c>
    </row>
    <row r="2" spans="1:1" x14ac:dyDescent="0.25">
      <c r="A2" t="s">
        <v>10</v>
      </c>
    </row>
    <row r="3" spans="1:1" x14ac:dyDescent="0.25">
      <c r="A3" t="s">
        <v>9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Master</vt:lpstr>
      <vt:lpstr>output</vt:lpstr>
      <vt:lpstr>rawNR</vt:lpstr>
      <vt:lpstr>pd</vt:lpstr>
      <vt:lpstr>rawNR indexing</vt:lpstr>
      <vt:lpstr>pd indexing</vt:lpstr>
      <vt:lpstr>example of rawNR setup</vt:lpstr>
      <vt:lpstr>example of pd setup</vt:lpstr>
      <vt:lpstr>whitelist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SLuk</dc:creator>
  <cp:lastModifiedBy>Julien SLuk</cp:lastModifiedBy>
  <dcterms:created xsi:type="dcterms:W3CDTF">2015-06-05T18:17:20Z</dcterms:created>
  <dcterms:modified xsi:type="dcterms:W3CDTF">2025-01-18T08:03:01Z</dcterms:modified>
</cp:coreProperties>
</file>